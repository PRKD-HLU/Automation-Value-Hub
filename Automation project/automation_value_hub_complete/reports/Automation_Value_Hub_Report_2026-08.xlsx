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utomation Details" sheetId="2" state="visible" r:id="rId2"/>
    <sheet name="Data Quality" sheetId="3" state="visible" r:id="rId3"/>
    <sheet name="AI Summary" sheetId="4" state="visible" r:id="rId4"/>
    <sheet name="Methodology" sheetId="5" state="visible" r:id="rId5"/>
  </sheets>
  <definedNames>
    <definedName name="_xlnm._FilterDatabase" localSheetId="1" hidden="1">'Automation Details'!$A$1:$AJ$3</definedName>
  </definedNames>
  <calcPr calcId="124519" calcMode="auto" fullCalcOnLoad="1" forceFullCalc="1"/>
</workbook>
</file>

<file path=xl/styles.xml><?xml version="1.0" encoding="utf-8"?>
<styleSheet xmlns="http://schemas.openxmlformats.org/spreadsheetml/2006/main">
  <numFmts count="3">
    <numFmt numFmtId="164" formatCode="yyyy-mm-dd h:mm:ss"/>
    <numFmt numFmtId="165" formatCode="mmm yyyy"/>
    <numFmt numFmtId="166" formatCode="0.0%"/>
  </numFmts>
  <fonts count="9">
    <font>
      <name val="Calibri"/>
      <family val="2"/>
      <color theme="1"/>
      <sz val="11"/>
      <scheme val="minor"/>
    </font>
    <font>
      <b val="1"/>
      <color rgb="00FFFFFF"/>
    </font>
    <font>
      <color rgb="00000000"/>
    </font>
    <font>
      <b val="1"/>
      <color rgb="00FFFFFF"/>
      <sz val="20"/>
    </font>
    <font>
      <b val="1"/>
      <sz val="12"/>
    </font>
    <font>
      <b val="1"/>
      <color rgb="00000000"/>
      <sz val="18"/>
    </font>
    <font>
      <i val="1"/>
      <color rgb="00666666"/>
    </font>
    <font>
      <b val="1"/>
      <color rgb="00FFFFFF"/>
      <sz val="18"/>
    </font>
    <font>
      <sz val="11"/>
    </font>
  </fonts>
  <fills count="7">
    <fill>
      <patternFill/>
    </fill>
    <fill>
      <patternFill patternType="gray125"/>
    </fill>
    <fill>
      <patternFill patternType="solid">
        <fgColor rgb="001F4E78"/>
      </patternFill>
    </fill>
    <fill>
      <patternFill patternType="solid">
        <fgColor rgb="00DDEBF7"/>
      </patternFill>
    </fill>
    <fill>
      <patternFill patternType="solid">
        <fgColor rgb="00FCE4D6"/>
      </patternFill>
    </fill>
    <fill>
      <patternFill patternType="solid">
        <fgColor rgb="005B9BD5"/>
      </patternFill>
    </fill>
    <fill>
      <patternFill patternType="solid">
        <fgColor rgb="00F2F2F2"/>
      </patternFill>
    </fill>
  </fills>
  <borders count="2">
    <border>
      <left/>
      <right/>
      <top/>
      <bottom/>
      <diagonal/>
    </border>
    <border>
      <bottom style="thin">
        <color rgb="00D9E1F2"/>
      </bottom>
    </border>
  </borders>
  <cellStyleXfs count="1">
    <xf numFmtId="0" fontId="0" fillId="0" borderId="0"/>
  </cellStyleXfs>
  <cellXfs count="20">
    <xf numFmtId="0" fontId="0" fillId="0" borderId="0" pivotButton="0" quotePrefix="0" xfId="0"/>
    <xf numFmtId="0" fontId="3" fillId="2" borderId="0" applyAlignment="1" pivotButton="0" quotePrefix="0" xfId="0">
      <alignment horizontal="center" vertical="center"/>
    </xf>
    <xf numFmtId="0" fontId="4" fillId="3" borderId="0" applyAlignment="1" pivotButton="0" quotePrefix="0" xfId="0">
      <alignment horizontal="center"/>
    </xf>
    <xf numFmtId="0" fontId="1" fillId="5" borderId="0" applyAlignment="1" pivotButton="0" quotePrefix="0" xfId="0">
      <alignment horizontal="center" vertical="center"/>
    </xf>
    <xf numFmtId="1" fontId="5" fillId="3" borderId="0" applyAlignment="1" pivotButton="0" quotePrefix="0" xfId="0">
      <alignment horizontal="center" vertical="center"/>
    </xf>
    <xf numFmtId="2" fontId="5" fillId="3" borderId="0" applyAlignment="1" pivotButton="0" quotePrefix="0" xfId="0">
      <alignment horizontal="center" vertical="center"/>
    </xf>
    <xf numFmtId="166" fontId="5" fillId="3" borderId="0" applyAlignment="1" pivotButton="0" quotePrefix="0" xfId="0">
      <alignment horizontal="center" vertical="center"/>
    </xf>
    <xf numFmtId="0" fontId="1" fillId="2" borderId="0" pivotButton="0" quotePrefix="0" xfId="0"/>
    <xf numFmtId="0" fontId="6" fillId="6" borderId="0" applyAlignment="1" pivotButton="0" quotePrefix="0" xfId="0">
      <alignment vertical="top" wrapText="1"/>
    </xf>
    <xf numFmtId="0" fontId="1" fillId="2" borderId="1" applyAlignment="1" pivotButton="0" quotePrefix="0" xfId="0">
      <alignment horizontal="center" vertical="center" wrapText="1"/>
    </xf>
    <xf numFmtId="0" fontId="0" fillId="0" borderId="0" applyAlignment="1" pivotButton="0" quotePrefix="0" xfId="0">
      <alignment vertical="top" wrapText="1"/>
    </xf>
    <xf numFmtId="165" fontId="0" fillId="0" borderId="0" applyAlignment="1" pivotButton="0" quotePrefix="0" xfId="0">
      <alignment vertical="top" wrapText="1"/>
    </xf>
    <xf numFmtId="0" fontId="2" fillId="0" borderId="0" pivotButton="0" quotePrefix="0" xfId="0"/>
    <xf numFmtId="166" fontId="2" fillId="0" borderId="0" pivotButton="0" quotePrefix="0" xfId="0"/>
    <xf numFmtId="2" fontId="2"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7" fillId="2" borderId="0" applyAlignment="1" pivotButton="0" quotePrefix="0" xfId="0">
      <alignment horizontal="center" vertical="center"/>
    </xf>
    <xf numFmtId="0" fontId="8"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Automation Value Hub</author>
  </authors>
  <commentList>
    <comment ref="A4" authorId="0" shapeId="0">
      <text>
        <t>This text is generated from validated KPI data. An approved AI tool may improve the wording but must not recalculate the figures.</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20</row>
      <rowOff>0</rowOff>
    </from>
    <ext cx="5810250" cy="3190875"/>
    <pic>
      <nvPicPr>
        <cNvPr id="1" name="Image 1" descr="Picture"/>
        <cNvPicPr/>
      </nvPicPr>
      <blipFill>
        <a:blip cstate="print" r:embed="rId1"/>
        <a:stretch>
          <a:fillRect/>
        </a:stretch>
      </blipFill>
      <spPr>
        <a:prstGeom prst="rect"/>
      </spPr>
    </pic>
    <clientData/>
  </oneCellAnchor>
  <oneCellAnchor>
    <from>
      <col>7</col>
      <colOff>0</colOff>
      <row>20</row>
      <rowOff>0</rowOff>
    </from>
    <ext cx="4286250" cy="2857500"/>
    <pic>
      <nvPicPr>
        <cNvPr id="2" name="Image 2" descr="Picture"/>
        <cNvPicPr/>
      </nvPicPr>
      <blipFill>
        <a:blip cstate="print" r:embed="rId2"/>
        <a:stretch>
          <a:fillRect/>
        </a:stretch>
      </blipFill>
      <spPr>
        <a:prstGeom prst="rect"/>
      </spPr>
    </pic>
    <clientData/>
  </oneCellAnchor>
</wsDr>
</file>

<file path=xl/tables/table1.xml><?xml version="1.0" encoding="utf-8"?>
<table xmlns="http://schemas.openxmlformats.org/spreadsheetml/2006/main" id="1" name="AutomationDetailsTable" displayName="AutomationDetailsTable" ref="A1:AJ3" headerRowCount="1">
  <autoFilter ref="A1:AJ3"/>
  <tableColumns count="36">
    <tableColumn id="1" name="Automation ID"/>
    <tableColumn id="2" name="Automation Name"/>
    <tableColumn id="3" name="Process Name"/>
    <tableColumn id="4" name="Technology"/>
    <tableColumn id="5" name="Frequency"/>
    <tableColumn id="6" name="Owner"/>
    <tableColumn id="7" name="Reporting Month"/>
    <tableColumn id="8" name="Expected Runs"/>
    <tableColumn id="9" name="Manual Minutes"/>
    <tableColumn id="10" name="Automated Minutes"/>
    <tableColumn id="11" name="Machine Runtime Minutes"/>
    <tableColumn id="12" name="Clean Success Runs"/>
    <tableColumn id="13" name="Completed with Rework"/>
    <tableColumn id="14" name="Failed Runs"/>
    <tableColumn id="15" name="Retry Count"/>
    <tableColumn id="16" name="Rework Minutes"/>
    <tableColumn id="17" name="Maintenance Minutes"/>
    <tableColumn id="18" name="Validation Status"/>
    <tableColumn id="19" name="Baseline Method"/>
    <tableColumn id="20" name="Baseline Confidence"/>
    <tableColumn id="21" name="Comment"/>
    <tableColumn id="22" name="Records Processed"/>
    <tableColumn id="23" name="Actual Process Runs"/>
    <tableColumn id="24" name="Completed Runs"/>
    <tableColumn id="25" name="First-Pass Success Rate"/>
    <tableColumn id="26" name="Completion Rate"/>
    <tableColumn id="27" name="Failure Rate"/>
    <tableColumn id="28" name="Execution Rate"/>
    <tableColumn id="29" name="Gross Saved Minutes"/>
    <tableColumn id="30" name="Gross Saved Hours"/>
    <tableColumn id="31" name="Net Saved Minutes"/>
    <tableColumn id="32" name="Net Saved Hours"/>
    <tableColumn id="33" name="Maintenance Ratio"/>
    <tableColumn id="34" name="Health Status"/>
    <tableColumn id="35" name="Health Reason"/>
    <tableColumn id="36" name="Data Quality Status"/>
  </tableColumns>
  <tableStyleInfo name="TableStyleMedium2" showFirstColumn="0" showLastColumn="0" showRowStripes="1" showColumnStripes="0"/>
</table>
</file>

<file path=xl/tables/table2.xml><?xml version="1.0" encoding="utf-8"?>
<table xmlns="http://schemas.openxmlformats.org/spreadsheetml/2006/main" id="2" name="DataQualityTable" displayName="DataQualityTable" ref="A1:I5" headerRowCount="1">
  <autoFilter ref="A1:I5"/>
  <tableColumns count="9">
    <tableColumn id="1" name="Issue ID"/>
    <tableColumn id="2" name="Severity"/>
    <tableColumn id="3" name="Automation ID"/>
    <tableColumn id="4" name="Reporting Month"/>
    <tableColumn id="5" name="Rule Code"/>
    <tableColumn id="6" name="Field"/>
    <tableColumn id="7" name="Description"/>
    <tableColumn id="8" name="Blocking"/>
    <tableColumn id="9" name="Detected 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M46"/>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2" ht="28" customHeight="1">
      <c r="B2" s="1" t="inlineStr">
        <is>
          <t>Automation Value &amp; Reliability Hub</t>
        </is>
      </c>
    </row>
    <row r="3" ht="28" customHeight="1"/>
    <row r="4">
      <c r="B4" s="2" t="inlineStr">
        <is>
          <t>Reporting month: August 2026</t>
        </is>
      </c>
    </row>
    <row r="6">
      <c r="B6" s="3" t="inlineStr">
        <is>
          <t>Active automations</t>
        </is>
      </c>
      <c r="F6" s="3" t="inlineStr">
        <is>
          <t>Actual process runs</t>
        </is>
      </c>
      <c r="J6" s="3" t="inlineStr">
        <is>
          <t>Net saved hours</t>
        </is>
      </c>
    </row>
    <row r="7">
      <c r="B7" s="4">
        <f>COUNTA('Automation Details'!A2:A3)</f>
        <v/>
      </c>
      <c r="F7" s="4">
        <f>SUM('Automation Details'!W2:W3)</f>
        <v/>
      </c>
      <c r="J7" s="5">
        <f>SUM('Automation Details'!AF2:AF3)</f>
        <v/>
      </c>
    </row>
    <row r="8"/>
    <row r="10">
      <c r="B10" s="3" t="inlineStr">
        <is>
          <t>First-pass success rate</t>
        </is>
      </c>
      <c r="F10" s="3" t="inlineStr">
        <is>
          <t>Completion rate</t>
        </is>
      </c>
      <c r="J10" s="3" t="inlineStr">
        <is>
          <t>Failed runs</t>
        </is>
      </c>
    </row>
    <row r="11">
      <c r="B11" s="6">
        <f>IF(SUM('Automation Details'!W2:W3)=0,0,SUM('Automation Details'!L2:L3)/SUM('Automation Details'!W2:W3))</f>
        <v/>
      </c>
      <c r="F11" s="6">
        <f>IF(SUM('Automation Details'!W2:W3)=0,0,SUM('Automation Details'!X2:X3)/SUM('Automation Details'!W2:W3))</f>
        <v/>
      </c>
      <c r="J11" s="4">
        <f>SUM('Automation Details'!N2:N3)</f>
        <v/>
      </c>
    </row>
    <row r="12"/>
    <row r="14">
      <c r="B14" s="3" t="inlineStr">
        <is>
          <t>Maintenance hours</t>
        </is>
      </c>
      <c r="F14" s="3" t="inlineStr">
        <is>
          <t>Action Required</t>
        </is>
      </c>
      <c r="J14" s="3" t="inlineStr">
        <is>
          <t>Monitor</t>
        </is>
      </c>
    </row>
    <row r="15">
      <c r="B15" s="5">
        <f>SUM('Automation Details'!Q2:Q3)/60</f>
        <v/>
      </c>
      <c r="F15" s="4">
        <f>COUNTIF('Automation Details'!AH2:AH3,"Action Required")</f>
        <v/>
      </c>
      <c r="J15" s="4">
        <f>COUNTIF('Automation Details'!AH2:AH3,"Monitor")</f>
        <v/>
      </c>
    </row>
    <row r="16"/>
    <row r="19">
      <c r="B19" s="7" t="inlineStr">
        <is>
          <t>Key visuals</t>
        </is>
      </c>
    </row>
    <row r="43">
      <c r="B43" s="8" t="inlineStr">
        <is>
          <t>Interpretation: Gross savings represent manual active time avoided for completed runs. Net savings additionally deduct rework and maintenance. Machine runtime is stored separately and is not deducted when the process is unattended or semi-attended.</t>
        </is>
      </c>
    </row>
    <row r="44"/>
    <row r="45"/>
    <row r="46"/>
  </sheetData>
  <mergeCells count="22">
    <mergeCell ref="J6:L6"/>
    <mergeCell ref="B14:D14"/>
    <mergeCell ref="F11:H12"/>
    <mergeCell ref="B7:D8"/>
    <mergeCell ref="B10:D10"/>
    <mergeCell ref="F7:H8"/>
    <mergeCell ref="B19:M19"/>
    <mergeCell ref="F15:H16"/>
    <mergeCell ref="B6:D6"/>
    <mergeCell ref="J15:L16"/>
    <mergeCell ref="B11:D12"/>
    <mergeCell ref="B2:M3"/>
    <mergeCell ref="F14:H14"/>
    <mergeCell ref="J11:L12"/>
    <mergeCell ref="B43:M46"/>
    <mergeCell ref="B4:M4"/>
    <mergeCell ref="F10:H10"/>
    <mergeCell ref="J7:L8"/>
    <mergeCell ref="F6:H6"/>
    <mergeCell ref="J14:L14"/>
    <mergeCell ref="J10:L10"/>
    <mergeCell ref="B15:D1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J3"/>
  <sheetViews>
    <sheetView showGridLines="0" workbookViewId="0">
      <pane ySplit="1" topLeftCell="A2" activePane="bottomLeft" state="frozen"/>
      <selection pane="bottomLeft" activeCell="A1" sqref="A1"/>
    </sheetView>
  </sheetViews>
  <sheetFormatPr baseColWidth="8" defaultRowHeight="15"/>
  <cols>
    <col width="14" customWidth="1" min="1" max="1"/>
    <col width="30" customWidth="1" min="2" max="2"/>
    <col width="28" customWidth="1" min="3" max="3"/>
    <col width="20" customWidth="1" min="4" max="4"/>
    <col width="12" customWidth="1" min="5" max="5"/>
    <col width="24" customWidth="1" min="6" max="6"/>
    <col width="14" customWidth="1" min="7" max="7"/>
    <col width="13" customWidth="1" min="8" max="8"/>
    <col width="14" customWidth="1" min="9" max="9"/>
    <col width="16" customWidth="1" min="10" max="10"/>
    <col width="17" customWidth="1" min="11" max="11"/>
    <col width="15" customWidth="1" min="12" max="12"/>
    <col width="18" customWidth="1" min="13" max="13"/>
    <col width="12" customWidth="1" min="14" max="14"/>
    <col width="12" customWidth="1" min="15" max="15"/>
    <col width="14" customWidth="1" min="16" max="16"/>
    <col width="17" customWidth="1" min="17" max="17"/>
    <col width="20" customWidth="1" min="18" max="18"/>
    <col width="18" customWidth="1" min="19" max="19"/>
    <col width="17" customWidth="1" min="20" max="20"/>
    <col width="34" customWidth="1" min="21" max="21"/>
    <col width="18" customWidth="1" min="22" max="22"/>
    <col width="18" customWidth="1" min="23" max="23"/>
    <col width="16" customWidth="1" min="24" max="24"/>
    <col width="18" customWidth="1" min="25" max="25"/>
    <col width="14" customWidth="1" min="26" max="26"/>
    <col width="15" customWidth="1" min="27" max="27"/>
    <col width="19" customWidth="1" min="28" max="28"/>
    <col width="16" customWidth="1" min="29" max="29"/>
    <col width="18" customWidth="1" min="30" max="30"/>
    <col width="17" customWidth="1" min="31" max="31"/>
    <col width="18" customWidth="1" min="32" max="32"/>
    <col width="18" customWidth="1" min="33" max="33"/>
    <col width="18" customWidth="1" min="34" max="34"/>
    <col width="40" customWidth="1" min="35" max="35"/>
    <col width="18" customWidth="1" min="36" max="36"/>
  </cols>
  <sheetData>
    <row r="1">
      <c r="A1" s="9" t="inlineStr">
        <is>
          <t>Automation ID</t>
        </is>
      </c>
      <c r="B1" s="9" t="inlineStr">
        <is>
          <t>Automation Name</t>
        </is>
      </c>
      <c r="C1" s="9" t="inlineStr">
        <is>
          <t>Process Name</t>
        </is>
      </c>
      <c r="D1" s="9" t="inlineStr">
        <is>
          <t>Technology</t>
        </is>
      </c>
      <c r="E1" s="9" t="inlineStr">
        <is>
          <t>Frequency</t>
        </is>
      </c>
      <c r="F1" s="9" t="inlineStr">
        <is>
          <t>Owner</t>
        </is>
      </c>
      <c r="G1" s="9" t="inlineStr">
        <is>
          <t>Reporting Month</t>
        </is>
      </c>
      <c r="H1" s="9" t="inlineStr">
        <is>
          <t>Expected Runs</t>
        </is>
      </c>
      <c r="I1" s="9" t="inlineStr">
        <is>
          <t>Manual Minutes</t>
        </is>
      </c>
      <c r="J1" s="9" t="inlineStr">
        <is>
          <t>Automated Minutes</t>
        </is>
      </c>
      <c r="K1" s="9" t="inlineStr">
        <is>
          <t>Machine Runtime Minutes</t>
        </is>
      </c>
      <c r="L1" s="9" t="inlineStr">
        <is>
          <t>Clean Success Runs</t>
        </is>
      </c>
      <c r="M1" s="9" t="inlineStr">
        <is>
          <t>Completed with Rework</t>
        </is>
      </c>
      <c r="N1" s="9" t="inlineStr">
        <is>
          <t>Failed Runs</t>
        </is>
      </c>
      <c r="O1" s="9" t="inlineStr">
        <is>
          <t>Retry Count</t>
        </is>
      </c>
      <c r="P1" s="9" t="inlineStr">
        <is>
          <t>Rework Minutes</t>
        </is>
      </c>
      <c r="Q1" s="9" t="inlineStr">
        <is>
          <t>Maintenance Minutes</t>
        </is>
      </c>
      <c r="R1" s="9" t="inlineStr">
        <is>
          <t>Validation Status</t>
        </is>
      </c>
      <c r="S1" s="9" t="inlineStr">
        <is>
          <t>Baseline Method</t>
        </is>
      </c>
      <c r="T1" s="9" t="inlineStr">
        <is>
          <t>Baseline Confidence</t>
        </is>
      </c>
      <c r="U1" s="9" t="inlineStr">
        <is>
          <t>Comment</t>
        </is>
      </c>
      <c r="V1" s="9" t="inlineStr">
        <is>
          <t>Records Processed</t>
        </is>
      </c>
      <c r="W1" s="9" t="inlineStr">
        <is>
          <t>Actual Process Runs</t>
        </is>
      </c>
      <c r="X1" s="9" t="inlineStr">
        <is>
          <t>Completed Runs</t>
        </is>
      </c>
      <c r="Y1" s="9" t="inlineStr">
        <is>
          <t>First-Pass Success Rate</t>
        </is>
      </c>
      <c r="Z1" s="9" t="inlineStr">
        <is>
          <t>Completion Rate</t>
        </is>
      </c>
      <c r="AA1" s="9" t="inlineStr">
        <is>
          <t>Failure Rate</t>
        </is>
      </c>
      <c r="AB1" s="9" t="inlineStr">
        <is>
          <t>Execution Rate</t>
        </is>
      </c>
      <c r="AC1" s="9" t="inlineStr">
        <is>
          <t>Gross Saved Minutes</t>
        </is>
      </c>
      <c r="AD1" s="9" t="inlineStr">
        <is>
          <t>Gross Saved Hours</t>
        </is>
      </c>
      <c r="AE1" s="9" t="inlineStr">
        <is>
          <t>Net Saved Minutes</t>
        </is>
      </c>
      <c r="AF1" s="9" t="inlineStr">
        <is>
          <t>Net Saved Hours</t>
        </is>
      </c>
      <c r="AG1" s="9" t="inlineStr">
        <is>
          <t>Maintenance Ratio</t>
        </is>
      </c>
      <c r="AH1" s="9" t="inlineStr">
        <is>
          <t>Health Status</t>
        </is>
      </c>
      <c r="AI1" s="9" t="inlineStr">
        <is>
          <t>Health Reason</t>
        </is>
      </c>
      <c r="AJ1" s="9" t="inlineStr">
        <is>
          <t>Data Quality Status</t>
        </is>
      </c>
    </row>
    <row r="2">
      <c r="A2" s="10" t="inlineStr">
        <is>
          <t>AUT-001</t>
        </is>
      </c>
      <c r="B2" s="10" t="inlineStr">
        <is>
          <t>Action plan list reminders</t>
        </is>
      </c>
      <c r="C2" s="10" t="inlineStr">
        <is>
          <t>Action plan list</t>
        </is>
      </c>
      <c r="D2" s="10" t="inlineStr">
        <is>
          <t>Power Automate</t>
        </is>
      </c>
      <c r="E2" s="10" t="inlineStr">
        <is>
          <t>Monthly</t>
        </is>
      </c>
      <c r="F2" s="10" t="inlineStr">
        <is>
          <t>Przemyslaw Kondrat</t>
        </is>
      </c>
      <c r="G2" s="11" t="n">
        <v>46235</v>
      </c>
      <c r="H2" s="10" t="n">
        <v>1</v>
      </c>
      <c r="I2" s="10" t="n">
        <v>180</v>
      </c>
      <c r="J2" s="10" t="n">
        <v>5</v>
      </c>
      <c r="K2" s="10" t="n">
        <v>10</v>
      </c>
      <c r="L2" s="10" t="n">
        <v>1</v>
      </c>
      <c r="M2" s="10" t="n">
        <v>0</v>
      </c>
      <c r="N2" s="10" t="n">
        <v>0</v>
      </c>
      <c r="O2" s="10" t="n">
        <v>0</v>
      </c>
      <c r="P2" s="10" t="n">
        <v>0</v>
      </c>
      <c r="Q2" s="10" t="n">
        <v>0</v>
      </c>
      <c r="R2" s="10" t="inlineStr">
        <is>
          <t>Passed</t>
        </is>
      </c>
      <c r="S2" s="10" t="inlineStr">
        <is>
          <t>Not Available</t>
        </is>
      </c>
      <c r="T2" s="10" t="inlineStr">
        <is>
          <t>Unknown</t>
        </is>
      </c>
      <c r="U2" s="10" t="inlineStr"/>
      <c r="V2" s="10" t="n"/>
      <c r="W2" s="12">
        <f>L2+M2+N2</f>
        <v/>
      </c>
      <c r="X2" s="12">
        <f>L2+M2</f>
        <v/>
      </c>
      <c r="Y2" s="13">
        <f>IFERROR(L2/W2,0)</f>
        <v/>
      </c>
      <c r="Z2" s="13">
        <f>IFERROR(X2/W2,0)</f>
        <v/>
      </c>
      <c r="AA2" s="13">
        <f>IFERROR(N2/W2,0)</f>
        <v/>
      </c>
      <c r="AB2" s="13">
        <f>IFERROR(W2/H2,0)</f>
        <v/>
      </c>
      <c r="AC2" s="12">
        <f>(I2-J2)*X2</f>
        <v/>
      </c>
      <c r="AD2" s="14">
        <f>AC2/60</f>
        <v/>
      </c>
      <c r="AE2" s="12">
        <f>AC2-P2-Q2</f>
        <v/>
      </c>
      <c r="AF2" s="14">
        <f>AE2/60</f>
        <v/>
      </c>
      <c r="AG2" s="13">
        <f>IFERROR(Q2/AC2,0)</f>
        <v/>
      </c>
      <c r="AH2" s="10" t="inlineStr">
        <is>
          <t>Healthy</t>
        </is>
      </c>
      <c r="AI2" s="10" t="inlineStr">
        <is>
          <t>no failure, rework, retry or material maintenance issue</t>
        </is>
      </c>
      <c r="AJ2" s="10" t="inlineStr">
        <is>
          <t>Info</t>
        </is>
      </c>
    </row>
    <row r="3">
      <c r="A3" s="10" t="inlineStr">
        <is>
          <t>AUT-002</t>
        </is>
      </c>
      <c r="B3" s="10" t="inlineStr">
        <is>
          <t>Process Performance copying</t>
        </is>
      </c>
      <c r="C3" s="10" t="inlineStr">
        <is>
          <t>Process Performance Heatmap</t>
        </is>
      </c>
      <c r="D3" s="10" t="inlineStr">
        <is>
          <t>Power Automate</t>
        </is>
      </c>
      <c r="E3" s="10" t="inlineStr">
        <is>
          <t>Monthly</t>
        </is>
      </c>
      <c r="F3" s="10" t="inlineStr">
        <is>
          <t>Przemyslaw Kondrat</t>
        </is>
      </c>
      <c r="G3" s="11" t="n">
        <v>46235</v>
      </c>
      <c r="H3" s="10" t="n">
        <v>1</v>
      </c>
      <c r="I3" s="10" t="n">
        <v>120</v>
      </c>
      <c r="J3" s="10" t="n">
        <v>5</v>
      </c>
      <c r="K3" s="10" t="n">
        <v>15</v>
      </c>
      <c r="L3" s="10" t="n">
        <v>0</v>
      </c>
      <c r="M3" s="10" t="n">
        <v>1</v>
      </c>
      <c r="N3" s="10" t="n">
        <v>0</v>
      </c>
      <c r="O3" s="10" t="n">
        <v>1</v>
      </c>
      <c r="P3" s="10" t="n">
        <v>10</v>
      </c>
      <c r="Q3" s="10" t="n">
        <v>0</v>
      </c>
      <c r="R3" s="10" t="inlineStr">
        <is>
          <t>Passed</t>
        </is>
      </c>
      <c r="S3" s="10" t="inlineStr">
        <is>
          <t>Not Available</t>
        </is>
      </c>
      <c r="T3" s="10" t="inlineStr">
        <is>
          <t>Unknown</t>
        </is>
      </c>
      <c r="U3" s="10" t="inlineStr"/>
      <c r="V3" s="10" t="n"/>
      <c r="W3" s="12">
        <f>L3+M3+N3</f>
        <v/>
      </c>
      <c r="X3" s="12">
        <f>L3+M3</f>
        <v/>
      </c>
      <c r="Y3" s="13">
        <f>IFERROR(L3/W3,0)</f>
        <v/>
      </c>
      <c r="Z3" s="13">
        <f>IFERROR(X3/W3,0)</f>
        <v/>
      </c>
      <c r="AA3" s="13">
        <f>IFERROR(N3/W3,0)</f>
        <v/>
      </c>
      <c r="AB3" s="13">
        <f>IFERROR(W3/H3,0)</f>
        <v/>
      </c>
      <c r="AC3" s="12">
        <f>(I3-J3)*X3</f>
        <v/>
      </c>
      <c r="AD3" s="14">
        <f>AC3/60</f>
        <v/>
      </c>
      <c r="AE3" s="12">
        <f>AC3-P3-Q3</f>
        <v/>
      </c>
      <c r="AF3" s="14">
        <f>AE3/60</f>
        <v/>
      </c>
      <c r="AG3" s="13">
        <f>IFERROR(Q3/AC3,0)</f>
        <v/>
      </c>
      <c r="AH3" s="10" t="inlineStr">
        <is>
          <t>Monitor</t>
        </is>
      </c>
      <c r="AI3" s="10" t="inlineStr">
        <is>
          <t>process completed with rework; technical retry recorded</t>
        </is>
      </c>
      <c r="AJ3" s="10" t="inlineStr">
        <is>
          <t>Warning</t>
        </is>
      </c>
    </row>
  </sheetData>
  <autoFilter ref="A1:AJ3"/>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6" customWidth="1" min="4" max="4"/>
    <col width="34" customWidth="1" min="5" max="5"/>
    <col width="24" customWidth="1" min="6" max="6"/>
    <col width="64" customWidth="1" min="7" max="7"/>
    <col width="12" customWidth="1" min="8" max="8"/>
    <col width="28" customWidth="1" min="9" max="9"/>
  </cols>
  <sheetData>
    <row r="1">
      <c r="A1" s="15" t="inlineStr">
        <is>
          <t>Issue ID</t>
        </is>
      </c>
      <c r="B1" s="15" t="inlineStr">
        <is>
          <t>Severity</t>
        </is>
      </c>
      <c r="C1" s="15" t="inlineStr">
        <is>
          <t>Automation ID</t>
        </is>
      </c>
      <c r="D1" s="15" t="inlineStr">
        <is>
          <t>Reporting Month</t>
        </is>
      </c>
      <c r="E1" s="15" t="inlineStr">
        <is>
          <t>Rule Code</t>
        </is>
      </c>
      <c r="F1" s="15" t="inlineStr">
        <is>
          <t>Field</t>
        </is>
      </c>
      <c r="G1" s="15" t="inlineStr">
        <is>
          <t>Description</t>
        </is>
      </c>
      <c r="H1" s="15" t="inlineStr">
        <is>
          <t>Blocking</t>
        </is>
      </c>
      <c r="I1" s="15" t="inlineStr">
        <is>
          <t>Detected At</t>
        </is>
      </c>
    </row>
    <row r="2">
      <c r="A2" s="16" t="inlineStr">
        <is>
          <t>DQ-0001</t>
        </is>
      </c>
      <c r="B2" s="16" t="inlineStr">
        <is>
          <t>Info</t>
        </is>
      </c>
      <c r="C2" s="16" t="inlineStr">
        <is>
          <t>AUT-001</t>
        </is>
      </c>
      <c r="D2" s="16" t="inlineStr"/>
      <c r="E2" s="16" t="inlineStr">
        <is>
          <t>BASELINE_METHOD_NOT_REPORTED</t>
        </is>
      </c>
      <c r="F2" s="16" t="inlineStr">
        <is>
          <t>baseline_method</t>
        </is>
      </c>
      <c r="G2" s="16" t="inlineStr">
        <is>
          <t>Baseline Method is not available. Mark the time as Measured, Reconstructed or Estimated when known.</t>
        </is>
      </c>
      <c r="H2" s="16" t="b">
        <v>0</v>
      </c>
      <c r="I2" s="16" t="inlineStr">
        <is>
          <t>2026-09-30T22:02:27.346297+00:00</t>
        </is>
      </c>
    </row>
    <row r="3">
      <c r="A3" s="16" t="inlineStr">
        <is>
          <t>DQ-0002</t>
        </is>
      </c>
      <c r="B3" s="16" t="inlineStr">
        <is>
          <t>Info</t>
        </is>
      </c>
      <c r="C3" s="16" t="inlineStr">
        <is>
          <t>AUT-002</t>
        </is>
      </c>
      <c r="D3" s="16" t="inlineStr"/>
      <c r="E3" s="16" t="inlineStr">
        <is>
          <t>BASELINE_METHOD_NOT_REPORTED</t>
        </is>
      </c>
      <c r="F3" s="16" t="inlineStr">
        <is>
          <t>baseline_method</t>
        </is>
      </c>
      <c r="G3" s="16" t="inlineStr">
        <is>
          <t>Baseline Method is not available. Mark the time as Measured, Reconstructed or Estimated when known.</t>
        </is>
      </c>
      <c r="H3" s="16" t="b">
        <v>0</v>
      </c>
      <c r="I3" s="16" t="inlineStr">
        <is>
          <t>2026-09-30T22:02:27.346537+00:00</t>
        </is>
      </c>
    </row>
    <row r="4">
      <c r="A4" s="17" t="inlineStr">
        <is>
          <t>DQ-0003</t>
        </is>
      </c>
      <c r="B4" s="17" t="inlineStr">
        <is>
          <t>Warning</t>
        </is>
      </c>
      <c r="C4" s="17" t="inlineStr">
        <is>
          <t>AUT-002</t>
        </is>
      </c>
      <c r="D4" s="17" t="inlineStr">
        <is>
          <t>2026-08-01</t>
        </is>
      </c>
      <c r="E4" s="17" t="inlineStr">
        <is>
          <t>REWORK_WITHOUT_COMMENT</t>
        </is>
      </c>
      <c r="F4" s="17" t="inlineStr">
        <is>
          <t>comment</t>
        </is>
      </c>
      <c r="G4" s="17" t="inlineStr">
        <is>
          <t>Rework Minutes is above zero but Comment is blank.</t>
        </is>
      </c>
      <c r="H4" s="17" t="b">
        <v>0</v>
      </c>
      <c r="I4" s="17" t="inlineStr">
        <is>
          <t>2026-09-30T22:02:27.351435+00:00</t>
        </is>
      </c>
    </row>
    <row r="5">
      <c r="A5" s="17" t="inlineStr">
        <is>
          <t>DQ-0004</t>
        </is>
      </c>
      <c r="B5" s="17" t="inlineStr">
        <is>
          <t>Warning</t>
        </is>
      </c>
      <c r="C5" s="17" t="inlineStr">
        <is>
          <t>AUT-002</t>
        </is>
      </c>
      <c r="D5" s="17" t="inlineStr">
        <is>
          <t>2026-08-01</t>
        </is>
      </c>
      <c r="E5" s="17" t="inlineStr">
        <is>
          <t>REWORK_WITH_PASSED_STATUS</t>
        </is>
      </c>
      <c r="F5" s="17" t="inlineStr">
        <is>
          <t>validation_status</t>
        </is>
      </c>
      <c r="G5" s="17" t="inlineStr">
        <is>
          <t>Completed with Rework is above zero; consider using 'Passed with Issues'.</t>
        </is>
      </c>
      <c r="H5" s="17" t="b">
        <v>0</v>
      </c>
      <c r="I5" s="17" t="inlineStr">
        <is>
          <t>2026-09-30T22:02:27.351544+00:00</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24"/>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8" t="inlineStr">
        <is>
          <t>Monthly Management Summary</t>
        </is>
      </c>
    </row>
    <row r="2"/>
    <row r="4">
      <c r="A4" s="19" t="inlineStr">
        <is>
          <t># Automation Value &amp; Reliability Hub - 2026-08
## Executive Summary
The prototype covers 2 automation(s) and 2 recorded business process run(s). The portfolio generated 4.67 net saved hours after deducting rework and maintenance.
First-pass success rate was 50.0% and completion rate was 100.0%. The data contains 0 failed run(s), 0.17 rework hour(s) and 0.00 maintenance hour(s).
## Health Status
Healthy: 1, Monitor: 1, Action Required: 0, Insufficient Data: 0.
## Automations Requiring Attention
- AUT-002 - Process Performance copying: Monitor (process completed with rework; technical retry recorded).
## Data Quality
Blocking errors: 0; warnings: 2; information items: 2.
This text is generated deterministically from validated KPI data. An approved AI tool may later improve the wording, but should not recalculate the figures.</t>
        </is>
      </c>
    </row>
    <row r="5"/>
    <row r="6"/>
    <row r="7"/>
    <row r="8"/>
    <row r="9"/>
    <row r="10"/>
    <row r="11"/>
    <row r="12"/>
    <row r="13"/>
    <row r="14"/>
    <row r="15"/>
    <row r="16"/>
    <row r="17"/>
    <row r="18"/>
    <row r="19"/>
    <row r="20"/>
    <row r="21"/>
    <row r="22"/>
    <row r="23"/>
    <row r="24"/>
  </sheetData>
  <mergeCells count="2">
    <mergeCell ref="A1:H2"/>
    <mergeCell ref="A4:H24"/>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7" t="inlineStr">
        <is>
          <t>Metric / Concept</t>
        </is>
      </c>
      <c r="B1" s="7" t="inlineStr">
        <is>
          <t>Definition</t>
        </is>
      </c>
    </row>
    <row r="2">
      <c r="A2" t="inlineStr">
        <is>
          <t>Actual Process Runs</t>
        </is>
      </c>
      <c r="B2" s="10" t="inlineStr">
        <is>
          <t>Clean Success Runs + Completed with Rework + Failed Runs.</t>
        </is>
      </c>
    </row>
    <row r="3">
      <c r="A3" t="inlineStr">
        <is>
          <t>Completed Runs</t>
        </is>
      </c>
      <c r="B3" s="10" t="inlineStr">
        <is>
          <t>Clean Success Runs + Completed with Rework.</t>
        </is>
      </c>
    </row>
    <row r="4">
      <c r="A4" t="inlineStr">
        <is>
          <t>First-Pass Success Rate</t>
        </is>
      </c>
      <c r="B4" s="10" t="inlineStr">
        <is>
          <t>Clean Success Runs / Actual Process Runs.</t>
        </is>
      </c>
    </row>
    <row r="5">
      <c r="A5" t="inlineStr">
        <is>
          <t>Completion Rate</t>
        </is>
      </c>
      <c r="B5" s="10" t="inlineStr">
        <is>
          <t>Completed Runs / Actual Process Runs.</t>
        </is>
      </c>
    </row>
    <row r="6">
      <c r="A6" t="inlineStr">
        <is>
          <t>Failure Rate</t>
        </is>
      </c>
      <c r="B6" s="10" t="inlineStr">
        <is>
          <t>Failed Runs / Actual Process Runs.</t>
        </is>
      </c>
    </row>
    <row r="7">
      <c r="A7" t="inlineStr">
        <is>
          <t>Execution Rate</t>
        </is>
      </c>
      <c r="B7" s="10" t="inlineStr">
        <is>
          <t>Actual Process Runs / Expected Runs per Month.</t>
        </is>
      </c>
    </row>
    <row r="8">
      <c r="A8" t="inlineStr">
        <is>
          <t>Gross Saved Minutes</t>
        </is>
      </c>
      <c r="B8" s="10" t="inlineStr">
        <is>
          <t>(Manual Active Minutes - Automated Active Minutes) x Completed Runs.</t>
        </is>
      </c>
    </row>
    <row r="9">
      <c r="A9" t="inlineStr">
        <is>
          <t>Net Saved Minutes</t>
        </is>
      </c>
      <c r="B9" s="10" t="inlineStr">
        <is>
          <t>Gross Saved Minutes - Rework Minutes - Maintenance Minutes.</t>
        </is>
      </c>
    </row>
    <row r="10">
      <c r="A10" t="inlineStr">
        <is>
          <t>Maintenance Ratio</t>
        </is>
      </c>
      <c r="B10" s="10" t="inlineStr">
        <is>
          <t>Maintenance Minutes / Gross Saved Minutes.</t>
        </is>
      </c>
    </row>
    <row r="11">
      <c r="A11" t="inlineStr">
        <is>
          <t>Machine Runtime</t>
        </is>
      </c>
      <c r="B11" s="10" t="inlineStr">
        <is>
          <t>Technical execution time. It is not deducted from user time for unattended or semi-attended processes.</t>
        </is>
      </c>
    </row>
    <row r="12">
      <c r="A12" t="inlineStr">
        <is>
          <t>Healthy</t>
        </is>
      </c>
      <c r="B12" s="10" t="inlineStr">
        <is>
          <t>No failure, rework, retry or material maintenance issue was detected.</t>
        </is>
      </c>
    </row>
    <row r="13">
      <c r="A13" t="inlineStr">
        <is>
          <t>Monitor</t>
        </is>
      </c>
      <c r="B13" s="10" t="inlineStr">
        <is>
          <t>The process completed, but rework, retry, execution gap or elevated maintenance was recorded.</t>
        </is>
      </c>
    </row>
    <row r="14">
      <c r="A14" t="inlineStr">
        <is>
          <t>Action Required</t>
        </is>
      </c>
      <c r="B14" s="10" t="inlineStr">
        <is>
          <t>A failed run, failed validation, non-positive net saving or high maintenance ratio was detected.</t>
        </is>
      </c>
    </row>
    <row r="15">
      <c r="A15" t="inlineStr">
        <is>
          <t>Insufficient Data</t>
        </is>
      </c>
      <c r="B15" s="10" t="inlineStr">
        <is>
          <t>A required baseline or monthly process result is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2026-09-30T22:02:29Z</dcterms:created>
  <dcterms:modified xsi:type="dcterms:W3CDTF">2026-09-30T22:02:29Z</dcterms:modified>
</cp:coreProperties>
</file>